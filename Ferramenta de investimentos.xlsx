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2882D4A5-A926-4E16-AF02-24FE8062DB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st" sheetId="1" r:id="rId1"/>
    <sheet name="aux" sheetId="2" r:id="rId2"/>
  </sheets>
  <definedNames>
    <definedName name="_xlchart.v1.0" hidden="1">Invst!#REF!</definedName>
    <definedName name="_xlchart.v1.1" hidden="1">Invst!$B$42:$B$47</definedName>
    <definedName name="_xlchart.v1.10" hidden="1">Invst!$B$43</definedName>
    <definedName name="_xlchart.v1.11" hidden="1">Invst!$B$28:$B$32</definedName>
    <definedName name="_xlchart.v1.12" hidden="1">Invst!$B$33</definedName>
    <definedName name="_xlchart.v1.13" hidden="1">Invst!#REF!</definedName>
    <definedName name="_xlchart.v1.14" hidden="1">Invst!$B$42:$B$51</definedName>
    <definedName name="_xlchart.v1.15" hidden="1">Invst!$C$41</definedName>
    <definedName name="_xlchart.v1.16" hidden="1">Invst!$C$42:$C$51</definedName>
    <definedName name="_xlchart.v1.17" hidden="1">Invst!$D$42:$D$51</definedName>
    <definedName name="_xlchart.v1.18" hidden="1">Invst!$B$37:$B$47</definedName>
    <definedName name="_xlchart.v1.19" hidden="1">Invst!$C$36</definedName>
    <definedName name="_xlchart.v1.2" hidden="1">Invst!$C$41</definedName>
    <definedName name="_xlchart.v1.20" hidden="1">Invst!$C$37:$C$47</definedName>
    <definedName name="_xlchart.v1.21" hidden="1">Invst!$D$36</definedName>
    <definedName name="_xlchart.v1.22" hidden="1">Invst!$D$37:$D$47</definedName>
    <definedName name="_xlchart.v1.23" hidden="1">Invst!$C$37</definedName>
    <definedName name="_xlchart.v1.3" hidden="1">Invst!$C$42:$C$47</definedName>
    <definedName name="_xlchart.v1.4" hidden="1">Invst!$D$42:$D$47</definedName>
    <definedName name="_xlchart.v1.5" hidden="1">Invst!$B$43:$B$46</definedName>
    <definedName name="_xlchart.v1.6" hidden="1">Invst!$C$42</definedName>
    <definedName name="_xlchart.v1.7" hidden="1">Invst!$C$43:$C$46</definedName>
    <definedName name="_xlchart.v1.8" hidden="1">Invst!$D$42</definedName>
    <definedName name="_xlchart.v1.9" hidden="1">Invst!$D$43:$D$46</definedName>
    <definedName name="opc">Invst!$D$24:$D$24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18" i="1"/>
  <c r="C19" i="1"/>
  <c r="C20" i="1"/>
  <c r="C21" i="1"/>
  <c r="C22" i="1"/>
  <c r="C29" i="1"/>
  <c r="C30" i="1"/>
  <c r="C31" i="1"/>
  <c r="C32" i="1"/>
  <c r="C33" i="1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D25" i="1"/>
  <c r="D8" i="1"/>
  <c r="D14" i="1"/>
  <c r="D19" i="1"/>
  <c r="D20" i="1"/>
  <c r="D21" i="1"/>
  <c r="D22" i="1"/>
  <c r="D18" i="1"/>
  <c r="D15" i="1"/>
  <c r="D28" i="1" l="1"/>
  <c r="D33" i="1"/>
  <c r="D32" i="1"/>
  <c r="D31" i="1"/>
  <c r="D30" i="1"/>
  <c r="D29" i="1"/>
  <c r="D34" i="1" l="1"/>
</calcChain>
</file>

<file path=xl/sharedStrings.xml><?xml version="1.0" encoding="utf-8"?>
<sst xmlns="http://schemas.openxmlformats.org/spreadsheetml/2006/main" count="70" uniqueCount="34">
  <si>
    <r>
      <rPr>
        <sz val="28"/>
        <color rgb="FFFFFFFF"/>
        <rFont val="Calibri"/>
        <scheme val="minor"/>
      </rPr>
      <t xml:space="preserve">  </t>
    </r>
    <r>
      <rPr>
        <b/>
        <sz val="28"/>
        <color rgb="FFFFFFFF"/>
        <rFont val="Agency FB"/>
      </rPr>
      <t>INVESTIMENTOS</t>
    </r>
  </si>
  <si>
    <t>Configurações</t>
  </si>
  <si>
    <t>Salário</t>
  </si>
  <si>
    <t>Rendimento da carteira</t>
  </si>
  <si>
    <t>Sugestão de investimento</t>
  </si>
  <si>
    <t>Investimento mensal</t>
  </si>
  <si>
    <t>Investimento mensal?</t>
  </si>
  <si>
    <t>Anos de investimento?</t>
  </si>
  <si>
    <t>Taxa de rendimentos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</si>
  <si>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</si>
  <si>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</si>
  <si>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</si>
  <si>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</si>
  <si>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</si>
  <si>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</si>
  <si>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</si>
  <si>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</si>
  <si>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</si>
  <si>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</si>
  <si>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</si>
  <si>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</si>
  <si>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</si>
  <si>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</si>
  <si>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</si>
  <si>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</si>
  <si>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</si>
  <si>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HÏBRIDO</t>
  </si>
  <si>
    <t>FOFs</t>
  </si>
  <si>
    <t>DESENVOLVIMENTO</t>
  </si>
  <si>
    <t>HOTELARIAS</t>
  </si>
  <si>
    <t>Chave</t>
  </si>
  <si>
    <t>%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</si>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</sst>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28"/>
      <color rgb="FFFFFFFF"/>
      <name val="Calibri"/>
    </font>
    <font>
      <sz val="28"/>
      <color rgb="FFFFFFFF"/>
      <name val="Calibri"/>
      <scheme val="minor"/>
    </font>
    <font>
      <sz val="12"/>
      <color theme="1"/>
      <name val="Calibri"/>
      <family val="2"/>
      <scheme val="minor"/>
    </font>
    <font>
      <b/>
      <sz val="28"/>
      <color rgb="FFFFFFFF"/>
      <name val="Agency FB"/>
    </font>
    <font>
      <b/>
      <sz val="14"/>
      <color rgb="FFFFFFFF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"/>
      <scheme val="minor"/>
    </font>
    <font>
      <b/>
      <sz val="14"/>
      <color theme="1" tint="0.249977111117893"/>
      <name val="Calibri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 tint="0.499984740745262"/>
        <bgColor indexed="64"/>
      </patternFill>
    </fill>
  </fills>
  <borders count="4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rgb="FF2F75B5"/>
      </right>
      <top style="thin">
        <color theme="1"/>
      </top>
      <bottom style="thin">
        <color theme="1"/>
      </bottom>
      <diagonal/>
    </border>
    <border>
      <left style="thin">
        <color rgb="FF2F75B5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1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14999847407452621"/>
      </top>
      <bottom style="thin">
        <color theme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10" borderId="0" applyNumberFormat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0" fillId="4" borderId="2" xfId="0" applyFill="1" applyBorder="1" applyAlignment="1">
      <alignment horizontal="right"/>
    </xf>
    <xf numFmtId="10" fontId="0" fillId="4" borderId="2" xfId="0" applyNumberFormat="1" applyFill="1" applyBorder="1" applyAlignment="1">
      <alignment horizontal="right"/>
    </xf>
    <xf numFmtId="44" fontId="0" fillId="3" borderId="8" xfId="0" applyNumberFormat="1" applyFill="1" applyBorder="1" applyAlignment="1">
      <alignment horizontal="right"/>
    </xf>
    <xf numFmtId="44" fontId="0" fillId="7" borderId="9" xfId="0" applyNumberFormat="1" applyFill="1" applyBorder="1" applyAlignment="1">
      <alignment horizontal="right"/>
    </xf>
    <xf numFmtId="44" fontId="0" fillId="4" borderId="15" xfId="0" applyNumberFormat="1" applyFill="1" applyBorder="1" applyAlignment="1">
      <alignment horizontal="right" vertical="center"/>
    </xf>
    <xf numFmtId="0" fontId="9" fillId="5" borderId="17" xfId="0" applyFont="1" applyFill="1" applyBorder="1" applyAlignment="1">
      <alignment horizontal="center" vertical="center"/>
    </xf>
    <xf numFmtId="44" fontId="0" fillId="9" borderId="18" xfId="0" applyNumberFormat="1" applyFill="1" applyBorder="1"/>
    <xf numFmtId="10" fontId="0" fillId="9" borderId="19" xfId="0" applyNumberFormat="1" applyFill="1" applyBorder="1"/>
    <xf numFmtId="44" fontId="0" fillId="9" borderId="9" xfId="0" applyNumberFormat="1" applyFill="1" applyBorder="1"/>
    <xf numFmtId="0" fontId="0" fillId="0" borderId="7" xfId="0" applyBorder="1" applyAlignment="1">
      <alignment horizontal="left" indent="3"/>
    </xf>
    <xf numFmtId="0" fontId="0" fillId="0" borderId="6" xfId="0" applyBorder="1" applyAlignment="1">
      <alignment horizontal="left" indent="3"/>
    </xf>
    <xf numFmtId="44" fontId="0" fillId="7" borderId="18" xfId="0" applyNumberFormat="1" applyFill="1" applyBorder="1" applyAlignment="1">
      <alignment horizontal="right"/>
    </xf>
    <xf numFmtId="44" fontId="0" fillId="7" borderId="19" xfId="0" applyNumberFormat="1" applyFill="1" applyBorder="1" applyAlignment="1">
      <alignment horizontal="right"/>
    </xf>
    <xf numFmtId="44" fontId="0" fillId="9" borderId="24" xfId="0" applyNumberFormat="1" applyFill="1" applyBorder="1"/>
    <xf numFmtId="0" fontId="12" fillId="9" borderId="25" xfId="0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9" borderId="26" xfId="0" applyFont="1" applyFill="1" applyBorder="1" applyAlignment="1">
      <alignment horizontal="center"/>
    </xf>
    <xf numFmtId="0" fontId="0" fillId="0" borderId="32" xfId="0" applyBorder="1"/>
    <xf numFmtId="0" fontId="0" fillId="0" borderId="32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33" xfId="0" applyBorder="1"/>
    <xf numFmtId="9" fontId="0" fillId="0" borderId="34" xfId="0" applyNumberFormat="1" applyBorder="1" applyAlignment="1">
      <alignment horizontal="center" vertical="center"/>
    </xf>
    <xf numFmtId="0" fontId="0" fillId="0" borderId="35" xfId="0" applyBorder="1"/>
    <xf numFmtId="9" fontId="0" fillId="0" borderId="36" xfId="0" applyNumberForma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0" borderId="38" xfId="0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9" fontId="0" fillId="0" borderId="28" xfId="0" applyNumberFormat="1" applyBorder="1" applyAlignment="1">
      <alignment horizontal="center" vertical="center"/>
    </xf>
    <xf numFmtId="44" fontId="0" fillId="0" borderId="29" xfId="0" applyNumberFormat="1" applyBorder="1"/>
    <xf numFmtId="0" fontId="1" fillId="10" borderId="23" xfId="1" applyBorder="1" applyAlignment="1">
      <alignment horizontal="center" vertical="center"/>
    </xf>
    <xf numFmtId="0" fontId="0" fillId="11" borderId="0" xfId="0" applyFill="1"/>
    <xf numFmtId="44" fontId="12" fillId="11" borderId="0" xfId="0" applyNumberFormat="1" applyFont="1" applyFill="1" applyAlignment="1">
      <alignment vertical="center"/>
    </xf>
    <xf numFmtId="0" fontId="11" fillId="10" borderId="1" xfId="1" applyFont="1" applyBorder="1" applyAlignment="1">
      <alignment horizontal="left" indent="2"/>
    </xf>
    <xf numFmtId="0" fontId="11" fillId="10" borderId="3" xfId="1" applyFont="1" applyBorder="1" applyAlignment="1">
      <alignment horizontal="left" indent="2"/>
    </xf>
    <xf numFmtId="0" fontId="12" fillId="6" borderId="4" xfId="0" applyFont="1" applyFill="1" applyBorder="1" applyAlignment="1">
      <alignment horizontal="left" indent="2"/>
    </xf>
    <xf numFmtId="0" fontId="12" fillId="6" borderId="5" xfId="0" applyFont="1" applyFill="1" applyBorder="1" applyAlignment="1">
      <alignment horizontal="left" indent="2"/>
    </xf>
    <xf numFmtId="0" fontId="9" fillId="2" borderId="12" xfId="0" applyFont="1" applyFill="1" applyBorder="1" applyAlignment="1">
      <alignment horizontal="left" vertical="center" wrapText="1" indent="2"/>
    </xf>
    <xf numFmtId="0" fontId="9" fillId="2" borderId="13" xfId="0" applyFont="1" applyFill="1" applyBorder="1" applyAlignment="1">
      <alignment horizontal="left" vertical="center" wrapText="1" indent="2"/>
    </xf>
    <xf numFmtId="0" fontId="9" fillId="2" borderId="14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vertical="center" indent="21"/>
    </xf>
    <xf numFmtId="0" fontId="3" fillId="2" borderId="3" xfId="0" applyFont="1" applyFill="1" applyBorder="1" applyAlignment="1">
      <alignment horizontal="left" vertical="center" indent="21"/>
    </xf>
    <xf numFmtId="0" fontId="3" fillId="2" borderId="4" xfId="0" applyFont="1" applyFill="1" applyBorder="1" applyAlignment="1">
      <alignment horizontal="left" vertical="center" indent="21"/>
    </xf>
    <xf numFmtId="0" fontId="3" fillId="2" borderId="5" xfId="0" applyFont="1" applyFill="1" applyBorder="1" applyAlignment="1">
      <alignment horizontal="left" vertical="center" indent="21"/>
    </xf>
    <xf numFmtId="0" fontId="7" fillId="8" borderId="12" xfId="0" applyFont="1" applyFill="1" applyBorder="1" applyAlignment="1">
      <alignment horizontal="left" indent="2"/>
    </xf>
    <xf numFmtId="0" fontId="8" fillId="8" borderId="13" xfId="0" applyFont="1" applyFill="1" applyBorder="1" applyAlignment="1">
      <alignment horizontal="left" indent="2"/>
    </xf>
    <xf numFmtId="0" fontId="8" fillId="8" borderId="14" xfId="0" applyFont="1" applyFill="1" applyBorder="1" applyAlignment="1">
      <alignment horizontal="left" indent="2"/>
    </xf>
    <xf numFmtId="0" fontId="0" fillId="0" borderId="1" xfId="0" applyBorder="1" applyAlignment="1">
      <alignment horizontal="left" indent="3"/>
    </xf>
    <xf numFmtId="0" fontId="0" fillId="0" borderId="20" xfId="0" applyBorder="1" applyAlignment="1">
      <alignment horizontal="left" indent="3"/>
    </xf>
    <xf numFmtId="0" fontId="0" fillId="0" borderId="7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4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10" fillId="5" borderId="12" xfId="0" applyFont="1" applyFill="1" applyBorder="1" applyAlignment="1">
      <alignment horizontal="left" indent="2"/>
    </xf>
    <xf numFmtId="0" fontId="10" fillId="5" borderId="16" xfId="0" applyFont="1" applyFill="1" applyBorder="1" applyAlignment="1">
      <alignment horizontal="left" indent="2"/>
    </xf>
    <xf numFmtId="0" fontId="5" fillId="4" borderId="7" xfId="0" applyFont="1" applyFill="1" applyBorder="1" applyAlignment="1">
      <alignment horizontal="left" indent="3"/>
    </xf>
    <xf numFmtId="0" fontId="5" fillId="4" borderId="10" xfId="0" applyFont="1" applyFill="1" applyBorder="1" applyAlignment="1">
      <alignment horizontal="left" indent="3"/>
    </xf>
    <xf numFmtId="0" fontId="5" fillId="6" borderId="7" xfId="0" applyFont="1" applyFill="1" applyBorder="1" applyAlignment="1">
      <alignment horizontal="left" indent="3"/>
    </xf>
    <xf numFmtId="0" fontId="5" fillId="6" borderId="0" xfId="0" applyFont="1" applyFill="1" applyAlignment="1">
      <alignment horizontal="left" indent="3"/>
    </xf>
    <xf numFmtId="0" fontId="5" fillId="6" borderId="4" xfId="0" applyFont="1" applyFill="1" applyBorder="1" applyAlignment="1">
      <alignment horizontal="left" indent="3"/>
    </xf>
    <xf numFmtId="0" fontId="5" fillId="6" borderId="5" xfId="0" applyFont="1" applyFill="1" applyBorder="1" applyAlignment="1">
      <alignment horizontal="left" indent="3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8" fontId="0" fillId="3" borderId="8" xfId="0" applyNumberFormat="1" applyFill="1" applyBorder="1" applyAlignment="1">
      <alignment horizontal="right"/>
    </xf>
    <xf numFmtId="44" fontId="0" fillId="7" borderId="11" xfId="0" applyNumberFormat="1" applyFill="1" applyBorder="1" applyAlignment="1">
      <alignment horizontal="right" vertical="center"/>
    </xf>
  </cellXfs>
  <cellStyles count="2">
    <cellStyle name="20% - Ênfase1" xfId="1" builtinId="30"/>
    <cellStyle name="Normal" xfId="0" builtinId="0"/>
  </cellStyles>
  <dxfs count="0"/>
  <tableStyles count="0" defaultTableStyle="TableStyleMedium2" defaultPivotStyle="PivotStyleMedium9"/>
  <colors>
    <mruColors>
      <color rgb="FFBFBFBF"/>
      <color rgb="FFD9D9D9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Invst!$C$41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79-4AF3-A035-1DB3053B1B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79-4AF3-A035-1DB3053B1B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79-4AF3-A035-1DB3053B1B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79-4AF3-A035-1DB3053B1B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79-4AF3-A035-1DB3053B1B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79-4AF3-A035-1DB3053B1B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79-4AF3-A035-1DB3053B1B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E79-4AF3-A035-1DB3053B1B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E79-4AF3-A035-1DB3053B1B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E79-4AF3-A035-1DB3053B1B99}"/>
              </c:ext>
            </c:extLst>
          </c:dPt>
          <c:cat>
            <c:numRef>
              <c:f>Invst!$B$42:$B$51</c:f>
              <c:numCache>
                <c:formatCode>General</c:formatCode>
                <c:ptCount val="10"/>
              </c:numCache>
            </c:numRef>
          </c:cat>
          <c:val>
            <c:numRef>
              <c:f>Invst!$C$42:$C$51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639A-4124-8D58-EB6DC7D746B9}"/>
            </c:ext>
          </c:extLst>
        </c:ser>
        <c:ser>
          <c:idx val="1"/>
          <c:order val="1"/>
          <c:tx>
            <c:strRef>
              <c:f>Invst!#REF!</c:f>
              <c:strCache>
                <c:ptCount val="1"/>
                <c:pt idx="0">
                  <c:v>#REF!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E79-4AF3-A035-1DB3053B1B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E79-4AF3-A035-1DB3053B1B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E79-4AF3-A035-1DB3053B1B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E79-4AF3-A035-1DB3053B1B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E79-4AF3-A035-1DB3053B1B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E79-4AF3-A035-1DB3053B1B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E79-4AF3-A035-1DB3053B1B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E79-4AF3-A035-1DB3053B1B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E79-4AF3-A035-1DB3053B1B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E79-4AF3-A035-1DB3053B1B99}"/>
              </c:ext>
            </c:extLst>
          </c:dPt>
          <c:cat>
            <c:numRef>
              <c:f>Invst!$B$42:$B$51</c:f>
              <c:numCache>
                <c:formatCode>General</c:formatCode>
                <c:ptCount val="10"/>
              </c:numCache>
            </c:numRef>
          </c:cat>
          <c:val>
            <c:numRef>
              <c:f>Invst!$D$42:$D$51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639A-4124-8D58-EB6DC7D74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91-4562-ADC7-89F24789E0A6}"/>
              </c:ext>
            </c:extLst>
          </c:dPt>
          <c:cat>
            <c:strRef>
              <c:f>Invst!$B$28</c:f>
              <c:strCache>
                <c:ptCount val="1"/>
                <c:pt idx="0">
                  <c:v>PAPEL</c:v>
                </c:pt>
              </c:strCache>
            </c:strRef>
          </c:cat>
          <c:val>
            <c:numRef>
              <c:f>Invst!$B$29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7-4938-B9B9-62E32E798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Invst!$C$40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A7-4E6B-8835-C41E8527AF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A7-4E6B-8835-C41E8527AF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A7-4E6B-8835-C41E8527AF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A7-4E6B-8835-C41E8527AF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A7-4E6B-8835-C41E8527AF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BA7-4E6B-8835-C41E8527AF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BA7-4E6B-8835-C41E8527AF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BA7-4E6B-8835-C41E8527AF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BA7-4E6B-8835-C41E8527AF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BA7-4E6B-8835-C41E8527AF7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BA7-4E6B-8835-C41E8527AF7D}"/>
              </c:ext>
            </c:extLst>
          </c:dPt>
          <c:cat>
            <c:numRef>
              <c:f>Invst!$B$41:$B$51</c:f>
              <c:numCache>
                <c:formatCode>General</c:formatCode>
                <c:ptCount val="11"/>
              </c:numCache>
            </c:numRef>
          </c:cat>
          <c:val>
            <c:numRef>
              <c:f>Invst!$C$41:$C$51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1D42-42B0-ACE8-E1F5F8D45390}"/>
            </c:ext>
          </c:extLst>
        </c:ser>
        <c:ser>
          <c:idx val="1"/>
          <c:order val="1"/>
          <c:tx>
            <c:strRef>
              <c:f>Invst!$D$40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BA7-4E6B-8835-C41E8527AF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BA7-4E6B-8835-C41E8527AF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BA7-4E6B-8835-C41E8527AF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BA7-4E6B-8835-C41E8527AF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BA7-4E6B-8835-C41E8527AF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BA7-4E6B-8835-C41E8527AF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BA7-4E6B-8835-C41E8527AF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BA7-4E6B-8835-C41E8527AF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BA7-4E6B-8835-C41E8527AF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BA7-4E6B-8835-C41E8527AF7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BA7-4E6B-8835-C41E8527AF7D}"/>
              </c:ext>
            </c:extLst>
          </c:dPt>
          <c:cat>
            <c:numRef>
              <c:f>Invst!$B$41:$B$51</c:f>
              <c:numCache>
                <c:formatCode>General</c:formatCode>
                <c:ptCount val="11"/>
              </c:numCache>
            </c:numRef>
          </c:cat>
          <c:val>
            <c:numRef>
              <c:f>Invst!$D$41:$D$51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1D42-42B0-ACE8-E1F5F8D45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Invst!$C$36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Invst!$B$37:$B$47</c:f>
              <c:numCache>
                <c:formatCode>General</c:formatCode>
                <c:ptCount val="11"/>
              </c:numCache>
            </c:numRef>
          </c:cat>
          <c:val>
            <c:numRef>
              <c:f>Invst!$C$37:$C$47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906D-4463-B4EF-54270CBD60EF}"/>
            </c:ext>
          </c:extLst>
        </c:ser>
        <c:ser>
          <c:idx val="1"/>
          <c:order val="1"/>
          <c:tx>
            <c:strRef>
              <c:f>Invst!$D$36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Invst!$B$37:$B$47</c:f>
              <c:numCache>
                <c:formatCode>General</c:formatCode>
                <c:ptCount val="11"/>
              </c:numCache>
            </c:numRef>
          </c:cat>
          <c:val>
            <c:numRef>
              <c:f>Invst!$D$37:$D$47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06D-4463-B4EF-54270CBD6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Invst!$C$36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Invst!$B$37:$B$47</c:f>
              <c:numCache>
                <c:formatCode>General</c:formatCode>
                <c:ptCount val="11"/>
              </c:numCache>
            </c:numRef>
          </c:cat>
          <c:val>
            <c:numRef>
              <c:f>Invst!$C$37:$C$47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697D-4DD9-A086-538D0D1B21B1}"/>
            </c:ext>
          </c:extLst>
        </c:ser>
        <c:ser>
          <c:idx val="1"/>
          <c:order val="1"/>
          <c:tx>
            <c:strRef>
              <c:f>Invst!$D$36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Invst!$B$37:$B$47</c:f>
              <c:numCache>
                <c:formatCode>General</c:formatCode>
                <c:ptCount val="11"/>
              </c:numCache>
            </c:numRef>
          </c:cat>
          <c:val>
            <c:numRef>
              <c:f>Invst!$D$37:$D$47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697D-4DD9-A086-538D0D1B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736840"/>
        <c:axId val="479738888"/>
      </c:barChart>
      <c:catAx>
        <c:axId val="47973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38888"/>
        <c:crosses val="autoZero"/>
        <c:auto val="1"/>
        <c:lblAlgn val="ctr"/>
        <c:lblOffset val="100"/>
        <c:noMultiLvlLbl val="0"/>
      </c:catAx>
      <c:valAx>
        <c:axId val="47973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3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Invst!$C$36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Invst!$B$37:$B$47</c:f>
              <c:numCache>
                <c:formatCode>General</c:formatCode>
                <c:ptCount val="11"/>
              </c:numCache>
            </c:numRef>
          </c:cat>
          <c:val>
            <c:numRef>
              <c:f>Invst!$C$37:$C$47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E388-458B-AC9F-8436C8DBB018}"/>
            </c:ext>
          </c:extLst>
        </c:ser>
        <c:ser>
          <c:idx val="1"/>
          <c:order val="1"/>
          <c:tx>
            <c:strRef>
              <c:f>Invst!$D$36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Invst!$B$37:$B$47</c:f>
              <c:numCache>
                <c:formatCode>General</c:formatCode>
                <c:ptCount val="11"/>
              </c:numCache>
            </c:numRef>
          </c:cat>
          <c:val>
            <c:numRef>
              <c:f>Invst!$D$37:$D$47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E388-458B-AC9F-8436C8DBB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Invst!$C$36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Invst!$B$37:$B$45</c:f>
              <c:numCache>
                <c:formatCode>General</c:formatCode>
                <c:ptCount val="9"/>
              </c:numCache>
            </c:numRef>
          </c:cat>
          <c:val>
            <c:numRef>
              <c:f>Invst!$C$37:$C$45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59E4-4EB0-A0EB-C477CE4A2C10}"/>
            </c:ext>
          </c:extLst>
        </c:ser>
        <c:ser>
          <c:idx val="1"/>
          <c:order val="1"/>
          <c:tx>
            <c:strRef>
              <c:f>Invst!$D$36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Invst!$B$37:$B$45</c:f>
              <c:numCache>
                <c:formatCode>General</c:formatCode>
                <c:ptCount val="9"/>
              </c:numCache>
            </c:numRef>
          </c:cat>
          <c:val>
            <c:numRef>
              <c:f>Invst!$D$37:$D$45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59E4-4EB0-A0EB-C477CE4A2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Invst!$B$28:$B$33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HÏBRIDO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Invst!$C$28:$C$33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A-4E87-B84B-28CC5F6E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Invst!$C$37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A17-4895-B2B5-B893CAA36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Invst!$B$37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24B-4421-AB99-94038248C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Invst!$B$36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C0F-4EC5-A72D-FDBCDFD59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Invst!$C$36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Invst!$B$37:$B$41</c:f>
              <c:numCache>
                <c:formatCode>General</c:formatCode>
                <c:ptCount val="5"/>
              </c:numCache>
            </c:numRef>
          </c:cat>
          <c:val>
            <c:numRef>
              <c:f>Invst!$C$37:$C$41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1BC-4282-ACF7-B2E4ABBBDA63}"/>
            </c:ext>
          </c:extLst>
        </c:ser>
        <c:ser>
          <c:idx val="1"/>
          <c:order val="1"/>
          <c:tx>
            <c:strRef>
              <c:f>Invst!$D$36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Invst!$B$37:$B$41</c:f>
              <c:numCache>
                <c:formatCode>General</c:formatCode>
                <c:ptCount val="5"/>
              </c:numCache>
            </c:numRef>
          </c:cat>
          <c:val>
            <c:numRef>
              <c:f>Invst!$D$37:$D$41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A1BC-4282-ACF7-B2E4ABBBD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Invst!$C$35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Invst!$B$36:$B$59</c:f>
              <c:numCache>
                <c:formatCode>General</c:formatCode>
                <c:ptCount val="24"/>
              </c:numCache>
            </c:numRef>
          </c:cat>
          <c:val>
            <c:numRef>
              <c:f>Invst!$C$36:$C$59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8811-42F4-941C-622CCA587358}"/>
            </c:ext>
          </c:extLst>
        </c:ser>
        <c:ser>
          <c:idx val="1"/>
          <c:order val="1"/>
          <c:tx>
            <c:strRef>
              <c:f>Invst!$D$35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Invst!$B$36:$B$59</c:f>
              <c:numCache>
                <c:formatCode>General</c:formatCode>
                <c:ptCount val="24"/>
              </c:numCache>
            </c:numRef>
          </c:cat>
          <c:val>
            <c:numRef>
              <c:f>Invst!$D$36:$D$59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8811-42F4-941C-622CCA587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  <cx:data id="1">
      <cx:strDim type="cat">
        <cx:f>_xlchart.v1.1</cx:f>
      </cx:strDim>
      <cx:numDim type="val">
        <cx:f>_xlchart.v1.4</cx:f>
      </cx:numDim>
    </cx:data>
  </cx:chartData>
  <cx:chart>
    <cx:title pos="t" align="ctr" overlay="0">
      <cx:tx>
        <cx:txData>
          <cx:v>Título do Gráfico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Título do Gráfico</a:t>
          </a:r>
        </a:p>
      </cx:txPr>
    </cx:title>
    <cx:plotArea>
      <cx:plotAreaRegion>
        <cx:series layoutId="clusteredColumn" uniqueId="{00000000-1389-4AA7-98F7-49C97B1B12F4}" formatIdx="0">
          <cx:tx>
            <cx:txData>
              <cx:f>_xlchart.v1.2</cx:f>
              <cx:v/>
            </cx:txData>
          </cx:tx>
          <cx:dataId val="0"/>
          <cx:layoutPr>
            <cx:binning intervalClosed="r"/>
          </cx:layoutPr>
        </cx:series>
        <cx:series layoutId="clusteredColumn" hidden="1" uniqueId="{00000001-1389-4AA7-98F7-49C97B1B12F4}" formatIdx="1">
          <cx:tx>
            <cx:txData>
              <cx:f>_xlchart.v1.0</cx:f>
              <cx:v/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Título do Gráfico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Título do Gráfico</a:t>
          </a:r>
        </a:p>
      </cx:txPr>
    </cx:title>
    <cx:plotArea>
      <cx:plotAreaRegion>
        <cx:series layoutId="clusteredColumn" uniqueId="{00000000-B7AB-41F6-BD6F-D05BDDC9B1A5}" formatIdx="0">
          <cx:tx>
            <cx:txData>
              <cx:f>_xlchart.v1.6</cx:f>
              <cx:v/>
            </cx:txData>
          </cx:tx>
          <cx:dataId val="0"/>
          <cx:layoutPr>
            <cx:binning intervalClosed="r"/>
          </cx:layoutPr>
        </cx:series>
        <cx:series layoutId="clusteredColumn" hidden="1" uniqueId="{00000001-B7AB-41F6-BD6F-D05BDDC9B1A5}" formatIdx="1">
          <cx:tx>
            <cx:txData>
              <cx:f>_xlchart.v1.8</cx:f>
              <cx:v/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Título do Gráfico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Título do Gráfico</a:t>
          </a:r>
        </a:p>
      </cx:txPr>
    </cx:title>
    <cx:plotArea>
      <cx:plotAreaRegion>
        <cx:series layoutId="clusteredColumn" uniqueId="{00000000-72E5-4D51-AAC5-AD1CE9FD1817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_xlchart.v1.11</cx:f>
      </cx:strDim>
      <cx:numDim type="val">
        <cx:f dir="row">_xlchart.v1.12</cx:f>
      </cx:numDim>
    </cx:data>
  </cx:chartData>
  <cx:chart>
    <cx:title pos="t" align="ctr" overlay="0">
      <cx:tx>
        <cx:txData>
          <cx:v>Título do Gráfico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Título do Gráfico</a:t>
          </a:r>
        </a:p>
      </cx:txPr>
    </cx:title>
    <cx:plotArea>
      <cx:plotAreaRegion>
        <cx:series layoutId="clusteredColumn" uniqueId="{00000000-0EFC-43EF-ADC4-4F89CB7C4073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  <cx:data id="1">
      <cx:strDim type="cat">
        <cx:f>_xlchart.v1.14</cx:f>
      </cx:strDim>
      <cx:numDim type="val">
        <cx:f>_xlchart.v1.17</cx:f>
      </cx:numDim>
    </cx:data>
  </cx:chartData>
  <cx:chart>
    <cx:title pos="t" align="ctr" overlay="0">
      <cx:tx>
        <cx:txData>
          <cx:v>Título do Gráfico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Título do Gráfico</a:t>
          </a:r>
        </a:p>
      </cx:txPr>
    </cx:title>
    <cx:plotArea>
      <cx:plotAreaRegion>
        <cx:series layoutId="clusteredColumn" uniqueId="{00000000-C9A8-4A2D-B316-C4F76C120693}" formatIdx="0">
          <cx:tx>
            <cx:txData>
              <cx:f>_xlchart.v1.15</cx:f>
              <cx:v/>
            </cx:txData>
          </cx:tx>
          <cx:dataId val="0"/>
          <cx:layoutPr>
            <cx:binning intervalClosed="r"/>
          </cx:layoutPr>
        </cx:series>
        <cx:series layoutId="clusteredColumn" hidden="1" uniqueId="{00000001-C9A8-4A2D-B316-C4F76C120693}" formatIdx="1">
          <cx:tx>
            <cx:txData>
              <cx:f>_xlchart.v1.13</cx:f>
              <cx:v/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  <cx:data id="1">
      <cx:strDim type="cat">
        <cx:f>_xlchart.v1.18</cx:f>
      </cx:strDim>
      <cx:numDim type="size">
        <cx:f>_xlchart.v1.22</cx:f>
      </cx:numDim>
    </cx:data>
  </cx:chartData>
  <cx:chart>
    <cx:title pos="t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Título do Gráfico</a:t>
          </a:r>
        </a:p>
      </cx:txPr>
    </cx:title>
    <cx:plotArea>
      <cx:plotAreaRegion>
        <cx:series layoutId="sunburst" uniqueId="{00000000-5832-4DD3-9EEA-2CDE8FDA14EE}" formatIdx="0">
          <cx:tx>
            <cx:txData>
              <cx:f>_xlchart.v1.19</cx:f>
              <cx:v/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  <cx:series layoutId="sunburst" hidden="1" uniqueId="{00000001-5832-4DD3-9EEA-2CDE8FDA14EE}" formatIdx="1">
          <cx:tx>
            <cx:txData>
              <cx:f>_xlchart.v1.21</cx:f>
              <cx:v/>
            </cx:txData>
          </cx:tx>
          <cx:dataLabels pos="ctr">
            <cx:visibility seriesName="0" categoryName="1" value="0"/>
          </cx:dataLabels>
          <cx:dataId val="1"/>
        </cx:series>
      </cx:plotAreaRegion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Título do Gráfico</a:t>
          </a:r>
        </a:p>
      </cx:txPr>
    </cx:title>
    <cx:plotArea>
      <cx:plotAreaRegion>
        <cx:series layoutId="clusteredColumn" uniqueId="{00000000-6638-4CF8-B1F4-1AC195AC5261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7.xml"/><Relationship Id="rId18" Type="http://schemas.openxmlformats.org/officeDocument/2006/relationships/chart" Target="../charts/chart11.xml"/><Relationship Id="rId3" Type="http://schemas.microsoft.com/office/2014/relationships/chartEx" Target="../charts/chartEx3.xml"/><Relationship Id="rId7" Type="http://schemas.openxmlformats.org/officeDocument/2006/relationships/chart" Target="../charts/chart2.xml"/><Relationship Id="rId12" Type="http://schemas.microsoft.com/office/2014/relationships/chartEx" Target="../charts/chartEx6.xml"/><Relationship Id="rId17" Type="http://schemas.microsoft.com/office/2014/relationships/chartEx" Target="../charts/chartEx7.xml"/><Relationship Id="rId2" Type="http://schemas.microsoft.com/office/2014/relationships/chartEx" Target="../charts/chartEx2.xml"/><Relationship Id="rId16" Type="http://schemas.openxmlformats.org/officeDocument/2006/relationships/chart" Target="../charts/chart10.xml"/><Relationship Id="rId20" Type="http://schemas.openxmlformats.org/officeDocument/2006/relationships/chart" Target="../charts/chart13.xml"/><Relationship Id="rId1" Type="http://schemas.microsoft.com/office/2014/relationships/chartEx" Target="../charts/chartEx1.xml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microsoft.com/office/2014/relationships/chartEx" Target="../charts/chartEx5.xml"/><Relationship Id="rId15" Type="http://schemas.openxmlformats.org/officeDocument/2006/relationships/chart" Target="../charts/chart9.xml"/><Relationship Id="rId10" Type="http://schemas.openxmlformats.org/officeDocument/2006/relationships/chart" Target="../charts/chart5.xml"/><Relationship Id="rId19" Type="http://schemas.openxmlformats.org/officeDocument/2006/relationships/chart" Target="../charts/chart12.xml"/><Relationship Id="rId4" Type="http://schemas.microsoft.com/office/2014/relationships/chartEx" Target="../charts/chartEx4.xml"/><Relationship Id="rId9" Type="http://schemas.openxmlformats.org/officeDocument/2006/relationships/chart" Target="../charts/chart4.xml"/><Relationship Id="rId1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46847ED-5D4F-BFF0-0887-65B052CBD1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8AF3785-D49B-13A4-2DEF-6300133B526C}"/>
                </a:ext>
                <a:ext uri="{147F2762-F138-4A5C-976F-8EAC2B608ADB}">
                  <a16:predDERef xmlns:a16="http://schemas.microsoft.com/office/drawing/2014/main" pred="{046847ED-5D4F-BFF0-0887-65B052CBD1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AA21693-A460-6CCA-7C5F-D3FDDEC2E956}"/>
                </a:ext>
                <a:ext uri="{147F2762-F138-4A5C-976F-8EAC2B608ADB}">
                  <a16:predDERef xmlns:a16="http://schemas.microsoft.com/office/drawing/2014/main" pred="{F8AF3785-D49B-13A4-2DEF-6300133B52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48F5BC23-60CD-FA72-0D70-6F646B3F5816}"/>
                </a:ext>
                <a:ext uri="{147F2762-F138-4A5C-976F-8EAC2B608ADB}">
                  <a16:predDERef xmlns:a16="http://schemas.microsoft.com/office/drawing/2014/main" pred="{4AA21693-A460-6CCA-7C5F-D3FDDEC2E9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A19EA0BB-E0D1-1136-F827-97AF6469B716}"/>
                </a:ext>
                <a:ext uri="{147F2762-F138-4A5C-976F-8EAC2B608ADB}">
                  <a16:predDERef xmlns:a16="http://schemas.microsoft.com/office/drawing/2014/main" pred="{48F5BC23-60CD-FA72-0D70-6F646B3F58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3D0033E-982D-1329-499B-009022EE5440}"/>
            </a:ext>
            <a:ext uri="{147F2762-F138-4A5C-976F-8EAC2B608ADB}">
              <a16:predDERef xmlns:a16="http://schemas.microsoft.com/office/drawing/2014/main" pred="{A19EA0BB-E0D1-1136-F827-97AF6469B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1224474-4532-8614-1BA3-E8A88E54C3AF}"/>
            </a:ext>
            <a:ext uri="{147F2762-F138-4A5C-976F-8EAC2B608ADB}">
              <a16:predDERef xmlns:a16="http://schemas.microsoft.com/office/drawing/2014/main" pred="{63D0033E-982D-1329-499B-009022EE5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DEC1C3-145A-AB80-4756-271A670EBD70}"/>
            </a:ext>
            <a:ext uri="{147F2762-F138-4A5C-976F-8EAC2B608ADB}">
              <a16:predDERef xmlns:a16="http://schemas.microsoft.com/office/drawing/2014/main" pred="{11224474-4532-8614-1BA3-E8A88E54C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485FE3D-C0AE-87B3-6E06-10C08CE99F0D}"/>
            </a:ext>
            <a:ext uri="{147F2762-F138-4A5C-976F-8EAC2B608ADB}">
              <a16:predDERef xmlns:a16="http://schemas.microsoft.com/office/drawing/2014/main" pred="{D7DEC1C3-145A-AB80-4756-271A670EB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02D50C5-52B0-00B1-49D1-7E4670D8024F}"/>
            </a:ext>
            <a:ext uri="{147F2762-F138-4A5C-976F-8EAC2B608ADB}">
              <a16:predDERef xmlns:a16="http://schemas.microsoft.com/office/drawing/2014/main" pred="{F485FE3D-C0AE-87B3-6E06-10C08CE99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7170167-1A6F-CDFE-82DE-AB7EDA95D8B8}"/>
            </a:ext>
            <a:ext uri="{147F2762-F138-4A5C-976F-8EAC2B608ADB}">
              <a16:predDERef xmlns:a16="http://schemas.microsoft.com/office/drawing/2014/main" pred="{102D50C5-52B0-00B1-49D1-7E4670D80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E3DE2B2A-D009-0908-1D91-CC46D59360CE}"/>
                </a:ext>
                <a:ext uri="{147F2762-F138-4A5C-976F-8EAC2B608ADB}">
                  <a16:predDERef xmlns:a16="http://schemas.microsoft.com/office/drawing/2014/main" pred="{37170167-1A6F-CDFE-82DE-AB7EDA95D8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5495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F0D7312-CB7B-241C-27CA-53481B0D82BE}"/>
            </a:ext>
            <a:ext uri="{147F2762-F138-4A5C-976F-8EAC2B608ADB}">
              <a16:predDERef xmlns:a16="http://schemas.microsoft.com/office/drawing/2014/main" pred="{E3DE2B2A-D009-0908-1D91-CC46D5936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16384</xdr:col>
      <xdr:colOff>466725</xdr:colOff>
      <xdr:row>27</xdr:row>
      <xdr:rowOff>85725</xdr:rowOff>
    </xdr:from>
    <xdr:to>
      <xdr:col>16384</xdr:col>
      <xdr:colOff>5038725</xdr:colOff>
      <xdr:row>41</xdr:row>
      <xdr:rowOff>161925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A1B0A68-E331-A8EC-57FA-F84909FACFE8}"/>
            </a:ext>
            <a:ext uri="{147F2762-F138-4A5C-976F-8EAC2B608ADB}">
              <a16:predDERef xmlns:a16="http://schemas.microsoft.com/office/drawing/2014/main" pred="{6F0D7312-CB7B-241C-27CA-53481B0D8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16384</xdr:col>
      <xdr:colOff>466725</xdr:colOff>
      <xdr:row>20</xdr:row>
      <xdr:rowOff>0</xdr:rowOff>
    </xdr:from>
    <xdr:to>
      <xdr:col>16384</xdr:col>
      <xdr:colOff>5038725</xdr:colOff>
      <xdr:row>34</xdr:row>
      <xdr:rowOff>28575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01C5290-4CC4-EBCF-9FC7-DC66A462A9FC}"/>
            </a:ext>
            <a:ext uri="{147F2762-F138-4A5C-976F-8EAC2B608ADB}">
              <a16:predDERef xmlns:a16="http://schemas.microsoft.com/office/drawing/2014/main" pred="{3A1B0A68-E331-A8EC-57FA-F84909FAC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16384</xdr:col>
      <xdr:colOff>466725</xdr:colOff>
      <xdr:row>20</xdr:row>
      <xdr:rowOff>0</xdr:rowOff>
    </xdr:from>
    <xdr:to>
      <xdr:col>16384</xdr:col>
      <xdr:colOff>5038725</xdr:colOff>
      <xdr:row>34</xdr:row>
      <xdr:rowOff>28575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08863E3-A9C6-9535-4BBD-BB561953E6B3}"/>
            </a:ext>
            <a:ext uri="{147F2762-F138-4A5C-976F-8EAC2B608ADB}">
              <a16:predDERef xmlns:a16="http://schemas.microsoft.com/office/drawing/2014/main" pred="{C01C5290-4CC4-EBCF-9FC7-DC66A462A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16384</xdr:col>
      <xdr:colOff>2752725</xdr:colOff>
      <xdr:row>26</xdr:row>
      <xdr:rowOff>180975</xdr:rowOff>
    </xdr:from>
    <xdr:to>
      <xdr:col>16384</xdr:col>
      <xdr:colOff>3705225</xdr:colOff>
      <xdr:row>30</xdr:row>
      <xdr:rowOff>57150</xdr:rowOff>
    </xdr:to>
    <xdr:sp macro="" textlink="">
      <xdr:nvSpPr>
        <xdr:cNvPr id="18" name="Balão Retangular 17">
          <a:extLst>
            <a:ext uri="{FF2B5EF4-FFF2-40B4-BE49-F238E27FC236}">
              <a16:creationId xmlns:a16="http://schemas.microsoft.com/office/drawing/2014/main" id="{A1C4CD27-5F73-3686-1C5C-8DDD3FE1BBB3}"/>
            </a:ext>
            <a:ext uri="{147F2762-F138-4A5C-976F-8EAC2B608ADB}">
              <a16:predDERef xmlns:a16="http://schemas.microsoft.com/office/drawing/2014/main" pred="{508863E3-A9C6-9535-4BBD-BB561953E6B3}"/>
            </a:ext>
          </a:extLst>
        </xdr:cNvPr>
        <xdr:cNvSpPr/>
      </xdr:nvSpPr>
      <xdr:spPr>
        <a:xfrm>
          <a:off x="8886825" y="5400675"/>
          <a:ext cx="952500" cy="6381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16384</xdr:col>
      <xdr:colOff>2752725</xdr:colOff>
      <xdr:row>26</xdr:row>
      <xdr:rowOff>180975</xdr:rowOff>
    </xdr:from>
    <xdr:to>
      <xdr:col>16384</xdr:col>
      <xdr:colOff>3705225</xdr:colOff>
      <xdr:row>31</xdr:row>
      <xdr:rowOff>180975</xdr:rowOff>
    </xdr:to>
    <xdr:sp macro="" textlink="">
      <xdr:nvSpPr>
        <xdr:cNvPr id="19" name="Multiplicar 18">
          <a:extLst>
            <a:ext uri="{FF2B5EF4-FFF2-40B4-BE49-F238E27FC236}">
              <a16:creationId xmlns:a16="http://schemas.microsoft.com/office/drawing/2014/main" id="{227A891D-976A-3023-2B98-85C1C0BA5E20}"/>
            </a:ext>
            <a:ext uri="{147F2762-F138-4A5C-976F-8EAC2B608ADB}">
              <a16:predDERef xmlns:a16="http://schemas.microsoft.com/office/drawing/2014/main" pred="{A1C4CD27-5F73-3686-1C5C-8DDD3FE1BBB3}"/>
            </a:ext>
          </a:extLst>
        </xdr:cNvPr>
        <xdr:cNvSpPr/>
      </xdr:nvSpPr>
      <xdr:spPr>
        <a:xfrm>
          <a:off x="8886825" y="5400675"/>
          <a:ext cx="952500" cy="952500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16384</xdr:col>
      <xdr:colOff>466725</xdr:colOff>
      <xdr:row>17</xdr:row>
      <xdr:rowOff>133350</xdr:rowOff>
    </xdr:from>
    <xdr:to>
      <xdr:col>16384</xdr:col>
      <xdr:colOff>5038725</xdr:colOff>
      <xdr:row>31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838982C4-FAD5-8C8D-C0F5-9BD94A8C148C}"/>
                </a:ext>
                <a:ext uri="{147F2762-F138-4A5C-976F-8EAC2B608ADB}">
                  <a16:predDERef xmlns:a16="http://schemas.microsoft.com/office/drawing/2014/main" pred="{227A891D-976A-3023-2B98-85C1C0BA5E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3590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16384</xdr:col>
      <xdr:colOff>466725</xdr:colOff>
      <xdr:row>22</xdr:row>
      <xdr:rowOff>133350</xdr:rowOff>
    </xdr:from>
    <xdr:to>
      <xdr:col>16384</xdr:col>
      <xdr:colOff>5038725</xdr:colOff>
      <xdr:row>36</xdr:row>
      <xdr:rowOff>161925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78A670FB-2D6B-1321-FAE8-B944F5807FCA}"/>
            </a:ext>
            <a:ext uri="{147F2762-F138-4A5C-976F-8EAC2B608ADB}">
              <a16:predDERef xmlns:a16="http://schemas.microsoft.com/office/drawing/2014/main" pred="{838982C4-FAD5-8C8D-C0F5-9BD94A8C1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16384</xdr:col>
      <xdr:colOff>447675</xdr:colOff>
      <xdr:row>22</xdr:row>
      <xdr:rowOff>133350</xdr:rowOff>
    </xdr:from>
    <xdr:to>
      <xdr:col>16384</xdr:col>
      <xdr:colOff>5019675</xdr:colOff>
      <xdr:row>36</xdr:row>
      <xdr:rowOff>161925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11792726-67AF-E1C4-09ED-30700F8E14EE}"/>
            </a:ext>
            <a:ext uri="{147F2762-F138-4A5C-976F-8EAC2B608ADB}">
              <a16:predDERef xmlns:a16="http://schemas.microsoft.com/office/drawing/2014/main" pred="{78A670FB-2D6B-1321-FAE8-B944F5807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16384</xdr:col>
      <xdr:colOff>447675</xdr:colOff>
      <xdr:row>37</xdr:row>
      <xdr:rowOff>152400</xdr:rowOff>
    </xdr:from>
    <xdr:to>
      <xdr:col>16384</xdr:col>
      <xdr:colOff>5019675</xdr:colOff>
      <xdr:row>52</xdr:row>
      <xdr:rowOff>38100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E0B1C79-C78F-33AD-C024-F9A9FC1BF6E2}"/>
            </a:ext>
            <a:ext uri="{147F2762-F138-4A5C-976F-8EAC2B608ADB}">
              <a16:predDERef xmlns:a16="http://schemas.microsoft.com/office/drawing/2014/main" pred="{11792726-67AF-E1C4-09ED-30700F8E1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showGridLines="0" tabSelected="1" topLeftCell="A10" workbookViewId="0">
      <selection activeCell="D24" sqref="D24"/>
    </sheetView>
  </sheetViews>
  <sheetFormatPr defaultColWidth="0" defaultRowHeight="15"/>
  <cols>
    <col min="1" max="1" width="4" customWidth="1"/>
    <col min="2" max="2" width="39.28515625" customWidth="1"/>
    <col min="3" max="3" width="31.28515625" bestFit="1" customWidth="1"/>
    <col min="4" max="4" width="17.7109375" customWidth="1"/>
    <col min="5" max="5" width="11.140625" hidden="1" customWidth="1"/>
    <col min="6" max="6" width="6.5703125" hidden="1" customWidth="1"/>
    <col min="7" max="7" width="3.85546875" hidden="1" customWidth="1"/>
    <col min="8" max="8" width="9.140625" hidden="1" customWidth="1"/>
  </cols>
  <sheetData>
    <row r="2" spans="2:5" ht="15" customHeight="1">
      <c r="B2" s="44" t="s">
        <v>0</v>
      </c>
      <c r="C2" s="45"/>
      <c r="D2" s="45"/>
    </row>
    <row r="3" spans="2:5" ht="15" customHeight="1">
      <c r="B3" s="46"/>
      <c r="C3" s="47"/>
      <c r="D3" s="47"/>
    </row>
    <row r="5" spans="2:5" ht="18.75">
      <c r="B5" s="48" t="s">
        <v>1</v>
      </c>
      <c r="C5" s="49"/>
      <c r="D5" s="50"/>
    </row>
    <row r="6" spans="2:5">
      <c r="B6" s="51" t="s">
        <v>2</v>
      </c>
      <c r="C6" s="52"/>
      <c r="D6" s="8">
        <v>5000</v>
      </c>
    </row>
    <row r="7" spans="2:5">
      <c r="B7" s="53" t="s">
        <v>3</v>
      </c>
      <c r="C7" s="54"/>
      <c r="D7" s="9">
        <v>8.8999999999999999E-3</v>
      </c>
    </row>
    <row r="8" spans="2:5">
      <c r="B8" s="55" t="s">
        <v>4</v>
      </c>
      <c r="C8" s="56"/>
      <c r="D8" s="10">
        <f>D6*30%</f>
        <v>1500</v>
      </c>
    </row>
    <row r="10" spans="2:5" ht="21" customHeight="1">
      <c r="B10" s="41" t="s">
        <v>5</v>
      </c>
      <c r="C10" s="42"/>
      <c r="D10" s="43"/>
    </row>
    <row r="11" spans="2:5" ht="15.75">
      <c r="B11" s="59" t="s">
        <v>6</v>
      </c>
      <c r="C11" s="60"/>
      <c r="D11" s="6">
        <v>600</v>
      </c>
    </row>
    <row r="12" spans="2:5" ht="15.75">
      <c r="B12" s="59" t="s">
        <v>7</v>
      </c>
      <c r="C12" s="60"/>
      <c r="D12" s="2">
        <v>7</v>
      </c>
    </row>
    <row r="13" spans="2:5" ht="15.75">
      <c r="B13" s="59" t="s">
        <v>8</v>
      </c>
      <c r="C13" s="60"/>
      <c r="D13" s="3">
        <v>1.0789999999999999E-2</v>
      </c>
    </row>
    <row r="14" spans="2:5" ht="15.75">
      <c r="B14" s="61" t="s">
        <v>9</v>
      </c>
      <c r="C14" s="62"/>
      <c r="D14" s="68">
        <f>FV(D13,D12*12,D11*-1)</f>
        <v>81370.220404561827</v>
      </c>
    </row>
    <row r="15" spans="2:5" ht="15.75">
      <c r="B15" s="63" t="s">
        <v>10</v>
      </c>
      <c r="C15" s="64"/>
      <c r="D15" s="5">
        <f>D14*1%</f>
        <v>813.70220404561826</v>
      </c>
    </row>
    <row r="16" spans="2:5">
      <c r="E16" s="1">
        <v>2</v>
      </c>
    </row>
    <row r="17" spans="1:5" ht="18.75">
      <c r="B17" s="57" t="s">
        <v>11</v>
      </c>
      <c r="C17" s="58"/>
      <c r="D17" s="7" t="s">
        <v>12</v>
      </c>
      <c r="E17" s="1">
        <v>5</v>
      </c>
    </row>
    <row r="18" spans="1:5">
      <c r="A18" s="1">
        <v>2</v>
      </c>
      <c r="B18" s="11" t="s">
        <v>13</v>
      </c>
      <c r="C18" s="67">
        <f>FV($D$13,$A18*12,$D$11*-1)</f>
        <v>16336.57637858713</v>
      </c>
      <c r="D18" s="13">
        <f>C18*$D$7</f>
        <v>145.39552976942545</v>
      </c>
      <c r="E18" s="1">
        <v>10</v>
      </c>
    </row>
    <row r="19" spans="1:5">
      <c r="A19" s="1">
        <v>5</v>
      </c>
      <c r="B19" s="11" t="s">
        <v>14</v>
      </c>
      <c r="C19" s="4">
        <f t="shared" ref="C19:C22" si="0">FV($D$13,$A19*12,$D$11*-1)</f>
        <v>50266.148399092584</v>
      </c>
      <c r="D19" s="14">
        <f t="shared" ref="D19:D22" si="1">C19*$D$7</f>
        <v>447.368720751924</v>
      </c>
      <c r="E19" s="1">
        <v>20</v>
      </c>
    </row>
    <row r="20" spans="1:5">
      <c r="A20" s="1">
        <v>10</v>
      </c>
      <c r="B20" s="11" t="s">
        <v>15</v>
      </c>
      <c r="C20" s="4">
        <f t="shared" si="0"/>
        <v>145970.52751810331</v>
      </c>
      <c r="D20" s="14">
        <f t="shared" si="1"/>
        <v>1299.1376949111195</v>
      </c>
      <c r="E20" s="1">
        <v>30</v>
      </c>
    </row>
    <row r="21" spans="1:5">
      <c r="A21" s="1">
        <v>20</v>
      </c>
      <c r="B21" s="11" t="s">
        <v>16</v>
      </c>
      <c r="C21" s="4">
        <f t="shared" si="0"/>
        <v>675119.04005824833</v>
      </c>
      <c r="D21" s="14">
        <f t="shared" si="1"/>
        <v>6008.5594565184101</v>
      </c>
    </row>
    <row r="22" spans="1:5">
      <c r="A22" s="1">
        <v>30</v>
      </c>
      <c r="B22" s="12" t="s">
        <v>17</v>
      </c>
      <c r="C22" s="4">
        <f t="shared" si="0"/>
        <v>2593301.7930028285</v>
      </c>
      <c r="D22" s="5">
        <f>C22*$D$7</f>
        <v>23080.385957725175</v>
      </c>
    </row>
    <row r="24" spans="1:5" ht="18.75">
      <c r="B24" s="37" t="s">
        <v>18</v>
      </c>
      <c r="C24" s="38"/>
      <c r="D24" s="34" t="s">
        <v>19</v>
      </c>
    </row>
    <row r="25" spans="1:5">
      <c r="B25" s="39" t="s">
        <v>20</v>
      </c>
      <c r="C25" s="40"/>
      <c r="D25" s="15">
        <f>D11</f>
        <v>600</v>
      </c>
    </row>
    <row r="27" spans="1:5">
      <c r="B27" s="16" t="s">
        <v>21</v>
      </c>
      <c r="C27" s="16" t="s">
        <v>22</v>
      </c>
      <c r="D27" s="20" t="s">
        <v>23</v>
      </c>
    </row>
    <row r="28" spans="1:5">
      <c r="B28" s="17" t="s">
        <v>24</v>
      </c>
      <c r="C28" s="32">
        <f>VLOOKUP($D$24&amp;"-"&amp;B28,aux!$A:$D,4,FALSE)</f>
        <v>0.3</v>
      </c>
      <c r="D28" s="33">
        <f>$D$25*C28</f>
        <v>180</v>
      </c>
    </row>
    <row r="29" spans="1:5">
      <c r="B29" s="18" t="s">
        <v>25</v>
      </c>
      <c r="C29" s="32">
        <f>VLOOKUP($D$24&amp;"-"&amp;B29,aux!$A:$D,4,FALSE)</f>
        <v>0.5</v>
      </c>
      <c r="D29" s="33">
        <f t="shared" ref="D29:D33" si="2">$D$25*C29</f>
        <v>300</v>
      </c>
    </row>
    <row r="30" spans="1:5">
      <c r="B30" s="18" t="s">
        <v>26</v>
      </c>
      <c r="C30" s="32">
        <f>VLOOKUP($D$24&amp;"-"&amp;B30,aux!$A:$D,4,FALSE)</f>
        <v>0.1</v>
      </c>
      <c r="D30" s="33">
        <f t="shared" si="2"/>
        <v>60</v>
      </c>
    </row>
    <row r="31" spans="1:5">
      <c r="B31" s="18" t="s">
        <v>27</v>
      </c>
      <c r="C31" s="32">
        <f>VLOOKUP($D$24&amp;"-"&amp;B31,aux!$A:$D,4,FALSE)</f>
        <v>0.1</v>
      </c>
      <c r="D31" s="33">
        <f t="shared" si="2"/>
        <v>60</v>
      </c>
    </row>
    <row r="32" spans="1:5">
      <c r="B32" s="18" t="s">
        <v>28</v>
      </c>
      <c r="C32" s="32">
        <f>VLOOKUP($D$24&amp;"-"&amp;B32,aux!$A:$D,4,FALSE)</f>
        <v>0</v>
      </c>
      <c r="D32" s="33">
        <f t="shared" si="2"/>
        <v>0</v>
      </c>
    </row>
    <row r="33" spans="2:4">
      <c r="B33" s="19" t="s">
        <v>29</v>
      </c>
      <c r="C33" s="32">
        <f>VLOOKUP($D$24&amp;"-"&amp;B33,aux!$A:$D,4,FALSE)</f>
        <v>0</v>
      </c>
      <c r="D33" s="33">
        <f t="shared" si="2"/>
        <v>0</v>
      </c>
    </row>
    <row r="34" spans="2:4">
      <c r="B34" s="35"/>
      <c r="C34" s="35"/>
      <c r="D34" s="36">
        <f>SUM(D28:D33)</f>
        <v>600</v>
      </c>
    </row>
  </sheetData>
  <mergeCells count="14">
    <mergeCell ref="B24:C24"/>
    <mergeCell ref="B25:C25"/>
    <mergeCell ref="B10:D10"/>
    <mergeCell ref="B2:D3"/>
    <mergeCell ref="B5:D5"/>
    <mergeCell ref="B6:C6"/>
    <mergeCell ref="B7:C7"/>
    <mergeCell ref="B8:C8"/>
    <mergeCell ref="B17:C17"/>
    <mergeCell ref="B11:C11"/>
    <mergeCell ref="B12:C12"/>
    <mergeCell ref="B13:C13"/>
    <mergeCell ref="B14:C14"/>
    <mergeCell ref="B15:C15"/>
  </mergeCells>
  <dataValidations count="1">
    <dataValidation type="list" allowBlank="1" showInputMessage="1" showErrorMessage="1" sqref="D24" xr:uid="{DD5385D4-C0B1-42C3-BE62-9417D2FB2126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BE84-E791-4BB0-8E75-2AE149024BB8}">
  <dimension ref="A1:D19"/>
  <sheetViews>
    <sheetView workbookViewId="0">
      <selection activeCell="C13" sqref="C13"/>
    </sheetView>
  </sheetViews>
  <sheetFormatPr defaultRowHeight="15"/>
  <cols>
    <col min="1" max="1" width="31.28515625" bestFit="1" customWidth="1"/>
    <col min="2" max="2" width="12.140625" bestFit="1" customWidth="1"/>
    <col min="3" max="3" width="19.28515625" bestFit="1" customWidth="1"/>
    <col min="4" max="4" width="9.7109375" style="23" bestFit="1" customWidth="1"/>
  </cols>
  <sheetData>
    <row r="1" spans="1:4">
      <c r="A1" s="24" t="s">
        <v>30</v>
      </c>
      <c r="B1" s="21" t="s">
        <v>18</v>
      </c>
      <c r="C1" s="21" t="s">
        <v>21</v>
      </c>
      <c r="D1" s="25" t="s">
        <v>31</v>
      </c>
    </row>
    <row r="2" spans="1:4">
      <c r="A2" s="26" t="str">
        <f>B2&amp;"-"&amp;C2</f>
        <v>Conservador-PAPEL</v>
      </c>
      <c r="B2" s="65" t="s">
        <v>19</v>
      </c>
      <c r="C2" s="66" t="s">
        <v>24</v>
      </c>
      <c r="D2" s="27">
        <v>0.3</v>
      </c>
    </row>
    <row r="3" spans="1:4">
      <c r="A3" s="26" t="str">
        <f t="shared" ref="A3:A19" si="0">B3&amp;"-"&amp;C3</f>
        <v>Conservador-TIJOLO</v>
      </c>
      <c r="B3" s="65" t="s">
        <v>19</v>
      </c>
      <c r="C3" s="66" t="s">
        <v>25</v>
      </c>
      <c r="D3" s="27">
        <v>0.5</v>
      </c>
    </row>
    <row r="4" spans="1:4">
      <c r="A4" s="26" t="str">
        <f t="shared" si="0"/>
        <v>Conservador-HÏBRIDO</v>
      </c>
      <c r="B4" s="65" t="s">
        <v>19</v>
      </c>
      <c r="C4" s="66" t="s">
        <v>26</v>
      </c>
      <c r="D4" s="27">
        <v>0.1</v>
      </c>
    </row>
    <row r="5" spans="1:4">
      <c r="A5" s="26" t="str">
        <f t="shared" si="0"/>
        <v>Conservador-FOFs</v>
      </c>
      <c r="B5" s="65" t="s">
        <v>19</v>
      </c>
      <c r="C5" s="66" t="s">
        <v>27</v>
      </c>
      <c r="D5" s="27">
        <v>0.1</v>
      </c>
    </row>
    <row r="6" spans="1:4">
      <c r="A6" s="26" t="str">
        <f t="shared" si="0"/>
        <v>Conservador-DESENVOLVIMENTO</v>
      </c>
      <c r="B6" s="65" t="s">
        <v>19</v>
      </c>
      <c r="C6" s="66" t="s">
        <v>28</v>
      </c>
      <c r="D6" s="27">
        <v>0</v>
      </c>
    </row>
    <row r="7" spans="1:4">
      <c r="A7" s="26" t="str">
        <f t="shared" si="0"/>
        <v>Conservador-HOTELARIAS</v>
      </c>
      <c r="B7" s="65" t="s">
        <v>19</v>
      </c>
      <c r="C7" s="66" t="s">
        <v>29</v>
      </c>
      <c r="D7" s="27">
        <v>0</v>
      </c>
    </row>
    <row r="8" spans="1:4">
      <c r="A8" s="24" t="str">
        <f t="shared" si="0"/>
        <v>Moderado-PAPEL</v>
      </c>
      <c r="B8" s="21" t="s">
        <v>32</v>
      </c>
      <c r="C8" s="22" t="s">
        <v>24</v>
      </c>
      <c r="D8" s="25">
        <v>0.32</v>
      </c>
    </row>
    <row r="9" spans="1:4">
      <c r="A9" s="26" t="str">
        <f t="shared" si="0"/>
        <v>Moderado-TIJOLO</v>
      </c>
      <c r="B9" s="65" t="s">
        <v>32</v>
      </c>
      <c r="C9" s="66" t="s">
        <v>25</v>
      </c>
      <c r="D9" s="27">
        <v>0.3</v>
      </c>
    </row>
    <row r="10" spans="1:4">
      <c r="A10" s="26" t="str">
        <f t="shared" si="0"/>
        <v>Moderado-HÏBRIDO</v>
      </c>
      <c r="B10" s="65" t="s">
        <v>32</v>
      </c>
      <c r="C10" s="66" t="s">
        <v>26</v>
      </c>
      <c r="D10" s="27">
        <v>0.08</v>
      </c>
    </row>
    <row r="11" spans="1:4">
      <c r="A11" s="26" t="str">
        <f t="shared" si="0"/>
        <v>Moderado-FOFs</v>
      </c>
      <c r="B11" s="65" t="s">
        <v>32</v>
      </c>
      <c r="C11" s="66" t="s">
        <v>27</v>
      </c>
      <c r="D11" s="27">
        <v>0.1</v>
      </c>
    </row>
    <row r="12" spans="1:4">
      <c r="A12" s="26" t="str">
        <f t="shared" si="0"/>
        <v>Moderado-DESENVOLVIMENTO</v>
      </c>
      <c r="B12" s="65" t="s">
        <v>32</v>
      </c>
      <c r="C12" s="66" t="s">
        <v>28</v>
      </c>
      <c r="D12" s="27">
        <v>0.1</v>
      </c>
    </row>
    <row r="13" spans="1:4">
      <c r="A13" s="26" t="str">
        <f t="shared" si="0"/>
        <v>Moderado-HOTELARIAS</v>
      </c>
      <c r="B13" s="65" t="s">
        <v>32</v>
      </c>
      <c r="C13" s="66" t="s">
        <v>29</v>
      </c>
      <c r="D13" s="27">
        <v>0.1</v>
      </c>
    </row>
    <row r="14" spans="1:4">
      <c r="A14" s="24" t="str">
        <f t="shared" si="0"/>
        <v>Agressivo-PAPEL</v>
      </c>
      <c r="B14" s="21" t="s">
        <v>33</v>
      </c>
      <c r="C14" s="22" t="s">
        <v>24</v>
      </c>
      <c r="D14" s="25">
        <v>0.5</v>
      </c>
    </row>
    <row r="15" spans="1:4">
      <c r="A15" s="26" t="str">
        <f t="shared" si="0"/>
        <v>Agressivo-TIJOLO</v>
      </c>
      <c r="B15" s="65" t="s">
        <v>33</v>
      </c>
      <c r="C15" s="66" t="s">
        <v>25</v>
      </c>
      <c r="D15" s="27">
        <v>0.1</v>
      </c>
    </row>
    <row r="16" spans="1:4">
      <c r="A16" s="26" t="str">
        <f t="shared" si="0"/>
        <v>Agressivo-HÏBRIDO</v>
      </c>
      <c r="B16" s="65" t="s">
        <v>33</v>
      </c>
      <c r="C16" s="66" t="s">
        <v>26</v>
      </c>
      <c r="D16" s="27">
        <v>0.05</v>
      </c>
    </row>
    <row r="17" spans="1:4">
      <c r="A17" s="26" t="str">
        <f t="shared" si="0"/>
        <v>Agressivo-FOFs</v>
      </c>
      <c r="B17" s="65" t="s">
        <v>33</v>
      </c>
      <c r="C17" s="66" t="s">
        <v>27</v>
      </c>
      <c r="D17" s="27">
        <v>0.05</v>
      </c>
    </row>
    <row r="18" spans="1:4">
      <c r="A18" s="26" t="str">
        <f t="shared" si="0"/>
        <v>Agressivo-DESENVOLVIMENTO</v>
      </c>
      <c r="B18" s="65" t="s">
        <v>33</v>
      </c>
      <c r="C18" s="66" t="s">
        <v>28</v>
      </c>
      <c r="D18" s="27">
        <v>0.2</v>
      </c>
    </row>
    <row r="19" spans="1:4">
      <c r="A19" s="28" t="str">
        <f t="shared" si="0"/>
        <v>Agressivo-HOTELARIAS</v>
      </c>
      <c r="B19" s="29" t="s">
        <v>33</v>
      </c>
      <c r="C19" s="30" t="s">
        <v>29</v>
      </c>
      <c r="D19" s="3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2026-10-17T19:54:02Z</dcterms:created>
  <dcterms:modified xsi:type="dcterms:W3CDTF">2026-10-19T22:25:21Z</dcterms:modified>
  <cp:category/>
  <cp:contentStatus/>
</cp:coreProperties>
</file>